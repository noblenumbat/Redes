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f56eefc07c87f16/Documentos/GitHub/soporte-ti/ITIL v4 ^M Fundamentos/Semana 2/"/>
    </mc:Choice>
  </mc:AlternateContent>
  <xr:revisionPtr revIDLastSave="2" documentId="8_{C03E3925-D01B-49EB-9346-495F2A13E941}" xr6:coauthVersionLast="47" xr6:coauthVersionMax="47" xr10:uidLastSave="{DCE6AD15-6BD4-446B-810F-016E0518F481}"/>
  <bookViews>
    <workbookView xWindow="20370" yWindow="-120" windowWidth="19440" windowHeight="14880" xr2:uid="{716A8B57-818B-4693-8528-97056D536F4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8" i="1" l="1"/>
  <c r="G5" i="1"/>
  <c r="G6" i="1"/>
  <c r="G7" i="1"/>
  <c r="G9" i="1"/>
  <c r="G10" i="1"/>
  <c r="G11" i="1"/>
  <c r="G12" i="1"/>
  <c r="G13" i="1"/>
  <c r="G14" i="1"/>
</calcChain>
</file>

<file path=xl/sharedStrings.xml><?xml version="1.0" encoding="utf-8"?>
<sst xmlns="http://schemas.openxmlformats.org/spreadsheetml/2006/main" count="129" uniqueCount="74">
  <si>
    <t>CLASIFICACIÓN Y PRIORIZACIÓN ITIL (Impacto/Urgencia)</t>
  </si>
  <si>
    <t>Incidente</t>
  </si>
  <si>
    <t xml:space="preserve">Descripción </t>
  </si>
  <si>
    <t>Impacto</t>
  </si>
  <si>
    <t>Bajo</t>
  </si>
  <si>
    <t>Alto</t>
  </si>
  <si>
    <t>Urgencia</t>
  </si>
  <si>
    <t>Baja</t>
  </si>
  <si>
    <t>Media</t>
  </si>
  <si>
    <t>Alta</t>
  </si>
  <si>
    <t>Prioridad</t>
  </si>
  <si>
    <t xml:space="preserve">Bajo: </t>
  </si>
  <si>
    <t>Afecta a pocos usuarios, servicio no crítico.</t>
  </si>
  <si>
    <t>Medio:</t>
  </si>
  <si>
    <t>Afecta a varios usuarios o un departamento, servicio importante.</t>
  </si>
  <si>
    <t xml:space="preserve">Alto: </t>
  </si>
  <si>
    <t>Afecta a muchos usuarios, servicio crítico pérdida significativa de ingresos.</t>
  </si>
  <si>
    <t>Baja:</t>
  </si>
  <si>
    <t>No hay plazo inmediato, se puede planificar.</t>
  </si>
  <si>
    <t xml:space="preserve">Media: </t>
  </si>
  <si>
    <t>Tiene una fecha límite, necesita resolución en días.</t>
  </si>
  <si>
    <t xml:space="preserve">Alta: </t>
  </si>
  <si>
    <t>Impide trabajo urgente, requiere atención inmediata (horas)</t>
  </si>
  <si>
    <t xml:space="preserve">1. Definición de Impacto y Urgencia </t>
  </si>
  <si>
    <t>2. Matriz de Prioridad (Pestaña "Matriz")</t>
  </si>
  <si>
    <t>Una tabla donde se cruza impacto (filas) con Urgencia (columnas) para determinar Prioridad (ej: Crítico, Alto, Medio, Bajo).</t>
  </si>
  <si>
    <t>Usuario/Departamento Afectado</t>
  </si>
  <si>
    <t>Fecha/Hora Reportada</t>
  </si>
  <si>
    <t>Crítico</t>
  </si>
  <si>
    <t>Medio</t>
  </si>
  <si>
    <t>Matriz de referencia (la lógica)</t>
  </si>
  <si>
    <t>Muy bajo</t>
  </si>
  <si>
    <t>Nivel Prioridad</t>
  </si>
  <si>
    <t>Explicación</t>
  </si>
  <si>
    <t>P1</t>
  </si>
  <si>
    <t>P2</t>
  </si>
  <si>
    <t>Impacto fuerte, pero hay una solución temporal.
No requiere acción inmediata, pero sí rápida.</t>
  </si>
  <si>
    <t>P3</t>
  </si>
  <si>
    <t>Afecta un proceso importante.
Puede esperar sin causar daño inmediato.</t>
  </si>
  <si>
    <t>Afecta a un grupo limitado.
Necesita pronta atención.</t>
  </si>
  <si>
    <t>Servicio crítico caído.
Afecta a muchos usuarios.
Atención inmediata.</t>
  </si>
  <si>
    <t>Incidente estándar.
Resolución dentro del SLA normal.</t>
  </si>
  <si>
    <t>P4</t>
  </si>
  <si>
    <t>Molestia operativa.
No afecta continuidad del servicio.</t>
  </si>
  <si>
    <t>Afecta a pocos usuarios.
Debe resolverse pronto.</t>
  </si>
  <si>
    <t>Impacto mínimo.
Se atiende cuando haya disponibilidad.</t>
  </si>
  <si>
    <t>P5</t>
  </si>
  <si>
    <t>Solicitud o mejora.
Puede planificarse.</t>
  </si>
  <si>
    <t>Caída del sistema contable</t>
  </si>
  <si>
    <t>El sistema financiero no permite registrar pagos ni facturas</t>
  </si>
  <si>
    <t>Tesoreria</t>
  </si>
  <si>
    <t>Fallas intermitentes en el correo</t>
  </si>
  <si>
    <t>El servicio de correo presenta retrasos constantes</t>
  </si>
  <si>
    <t>Toda la entidad</t>
  </si>
  <si>
    <t>Error en módulo de reportes</t>
  </si>
  <si>
    <t>No se pueden generar informes mensuales, hay alternativa manual</t>
  </si>
  <si>
    <t>Planeación</t>
  </si>
  <si>
    <t>Lentitud en aplicativo interno</t>
  </si>
  <si>
    <t>El sistema responde lentamente en horas pico</t>
  </si>
  <si>
    <t>Control Interno</t>
  </si>
  <si>
    <t>Impresora compartida no funciona</t>
  </si>
  <si>
    <t>No imprime documentos administrativos</t>
  </si>
  <si>
    <t>Recursos Humanos</t>
  </si>
  <si>
    <t>Falla en escáner</t>
  </si>
  <si>
    <t>Equipo no reconoce documentos, proceso manual disponible</t>
  </si>
  <si>
    <t>Archivo</t>
  </si>
  <si>
    <t>Usuario sin acceso a red</t>
  </si>
  <si>
    <t>Usuario nuevo no puede iniciar sesión en el dominio</t>
  </si>
  <si>
    <t>Secretaría</t>
  </si>
  <si>
    <t>Solicitud de instalación de software</t>
  </si>
  <si>
    <t>Requiere instalación de visor PDF</t>
  </si>
  <si>
    <t>Usuario individual</t>
  </si>
  <si>
    <t>Ajuste de firma de correo</t>
  </si>
  <si>
    <t>Cambio solicitado en la firma institucional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</si>
</sst>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44"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00B0F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6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5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00B0F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6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00B0F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6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5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00B0F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6" tint="0.40000610370189521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5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theme="5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C2331-A5F1-4D0E-AFE8-BF7619A0468B}">
  <dimension ref="B2:H43"/>
  <sheetViews>
    <sheetView tabSelected="1" topLeftCell="B6" workbookViewId="0">
      <selection activeCell="E14" sqref="E14"/>
    </sheetView>
  </sheetViews>
  <sheetFormatPr defaultRowHeight="15" x14ac:dyDescent="0.25"/>
  <cols>
    <col min="3" max="3" width="18.140625" customWidth="1"/>
    <col min="4" max="4" width="22.42578125" customWidth="1"/>
    <col min="5" max="5" width="31.7109375" customWidth="1"/>
    <col min="6" max="6" width="21.85546875" customWidth="1"/>
    <col min="7" max="7" width="21.140625" customWidth="1"/>
    <col min="8" max="8" width="21.140625" bestFit="1" customWidth="1"/>
  </cols>
  <sheetData>
    <row r="2" spans="2:8" ht="15.75" x14ac:dyDescent="0.25">
      <c r="B2" s="6" t="s">
        <v>0</v>
      </c>
      <c r="C2" s="6"/>
      <c r="D2" s="6"/>
      <c r="E2" s="6"/>
      <c r="F2" s="6"/>
      <c r="G2" s="6"/>
      <c r="H2" s="6"/>
    </row>
    <row r="4" spans="2:8" x14ac:dyDescent="0.25">
      <c r="B4" s="3" t="s">
        <v>3</v>
      </c>
      <c r="C4" s="15" t="s">
        <v>1</v>
      </c>
      <c r="D4" s="15" t="s">
        <v>2</v>
      </c>
      <c r="E4" s="15" t="s">
        <v>26</v>
      </c>
      <c r="F4" s="15" t="s">
        <v>6</v>
      </c>
      <c r="G4" s="15" t="s">
        <v>10</v>
      </c>
      <c r="H4" s="15" t="s">
        <v>27</v>
      </c>
    </row>
    <row r="5" spans="2:8" ht="45" x14ac:dyDescent="0.25">
      <c r="B5" s="4" t="s">
        <v>5</v>
      </c>
      <c r="C5" s="16" t="s">
        <v>48</v>
      </c>
      <c r="D5" s="17" t="s">
        <v>49</v>
      </c>
      <c r="E5" s="18" t="s">
        <v>50</v>
      </c>
      <c r="F5" s="4" t="s">
        <v>9</v>
      </c>
      <c r="G5" s="4" t="str">
        <f>IF(AND(B5="Alto",F5="Alta"),"Crítico",
IF(AND(B5="Alto",F5="Media"),"Alto",
IF(AND(B5="Alto",F5="Baja"),"Medio",
IF(AND(B5="Medio",F5="Alta"),"Alto",
IF(AND(B5="Medio",F5="Media"),"Medio",
IF(AND(B5="Medio",F5="Baja"),"Bajo",
IF(AND(B5="Bajo",F5="Alta"),"Medio",
IF(AND(B5="Bajo",F5="Media"),"Bajo",
IF(AND(B5="Bajo",F5="Baja"),"Muy bajo","")))))))))</f>
        <v>Crítico</v>
      </c>
      <c r="H5" s="2"/>
    </row>
    <row r="6" spans="2:8" ht="45" x14ac:dyDescent="0.25">
      <c r="B6" s="4" t="s">
        <v>5</v>
      </c>
      <c r="C6" s="16" t="s">
        <v>51</v>
      </c>
      <c r="D6" s="16" t="s">
        <v>52</v>
      </c>
      <c r="E6" s="18" t="s">
        <v>53</v>
      </c>
      <c r="F6" s="4" t="s">
        <v>8</v>
      </c>
      <c r="G6" s="4" t="str">
        <f>IF(AND(B6="Alto",F6="Alta"),"Crítico",
IF(AND(B6="Alto",F6="Media"),"Alto",
IF(AND(B6="Alto",F6="Baja"),"Medio",
IF(AND(B6="Medio",F6="Alta"),"Bajo",
IF(AND(B6="Medio",F6="Media"),"Medio",
IF(AND(B6="Medio",F6="Baja"),"Bajo",
IF(AND(B6="Bajo",F6="Alta"),"Medio",
IF(AND(B6="Bajo",F6="Media"),"Bajo",
IF(AND(B6="Bajo",F6="Baja"),"Muy bajo","")))))))))</f>
        <v>Alto</v>
      </c>
      <c r="H6" s="2"/>
    </row>
    <row r="7" spans="2:8" ht="45" x14ac:dyDescent="0.25">
      <c r="B7" s="4" t="s">
        <v>5</v>
      </c>
      <c r="C7" s="16" t="s">
        <v>54</v>
      </c>
      <c r="D7" s="16" t="s">
        <v>55</v>
      </c>
      <c r="E7" s="18" t="s">
        <v>56</v>
      </c>
      <c r="F7" s="4" t="s">
        <v>7</v>
      </c>
      <c r="G7" s="4" t="str">
        <f>IF(AND(B7="Alto",F7="Alta"),"Crítico",
IF(AND(B7="Alto",F7="Media"),"Alto",
IF(AND(B7="Alto",F7="Baja"),"Medio",
IF(AND(B7="Medio",F7="Alta"),"Bajo",
IF(AND(B7="Medio",F7="Media"),"Medio",
IF(AND(B7="Medio",F7="Baja"),"Bajo",
IF(AND(B7="Bajo",F7="Alta"),"Medio",
IF(AND(B7="Bajo",F7="Media"),"Bajo",
IF(AND(B7="Bajo",F7="Baja"),"Muy bajo","")))))))))</f>
        <v>Medio</v>
      </c>
      <c r="H7" s="2"/>
    </row>
    <row r="8" spans="2:8" ht="45" x14ac:dyDescent="0.25">
      <c r="B8" s="4" t="s">
        <v>29</v>
      </c>
      <c r="C8" s="16" t="s">
        <v>57</v>
      </c>
      <c r="D8" s="16" t="s">
        <v>58</v>
      </c>
      <c r="E8" s="18" t="s">
        <v>59</v>
      </c>
      <c r="F8" s="4" t="s">
        <v>9</v>
      </c>
      <c r="G8" s="4" t="str">
        <f>IF(AND(B8="Alto",F8="Alta"),"Crítico",
IF(AND(B8="Alto",F8="Media"),"Alto",
IF(AND(B8="Alto",F8="Baja"),"Medio",
IF(AND(B8="Medio",F8="Alta"),"Alto",
IF(AND(B8="Medio",F8="Media"),"Medio",
IF(AND(B8="Medio",F8="Baja"),"Bajo",
IF(AND(B8="Bajo",F8="Alta"),"Medio",
IF(AND(B8="Bajo",F8="Media"),"Bajo",
IF(AND(B8="Bajo",F8="Baja"),"Muy bajo","")))))))))</f>
        <v>Alto</v>
      </c>
      <c r="H8" s="2"/>
    </row>
    <row r="9" spans="2:8" ht="45" x14ac:dyDescent="0.25">
      <c r="B9" s="4" t="s">
        <v>29</v>
      </c>
      <c r="C9" s="16" t="s">
        <v>60</v>
      </c>
      <c r="D9" s="16" t="s">
        <v>61</v>
      </c>
      <c r="E9" s="18" t="s">
        <v>62</v>
      </c>
      <c r="F9" s="4" t="s">
        <v>8</v>
      </c>
      <c r="G9" s="4" t="str">
        <f>IF(AND(B9="Alto",F9="Alta"),"Crítico",
IF(AND(B9="Alto",F9="Media"),"Alto",
IF(AND(B9="Alto",F9="Baja"),"Medio",
IF(AND(B9="Medio",F9="Alta"),"Bajo",
IF(AND(B9="Medio",F9="Media"),"Medio",
IF(AND(B9="Medio",F9="Baja"),"Bajo",
IF(AND(B9="Bajo",F9="Alta"),"Medio",
IF(AND(B9="Bajo",F9="Media"),"Bajo",
IF(AND(B9="Bajo",F9="Baja"),"Muy bajo","")))))))))</f>
        <v>Medio</v>
      </c>
      <c r="H9" s="2"/>
    </row>
    <row r="10" spans="2:8" ht="45" x14ac:dyDescent="0.25">
      <c r="B10" s="4" t="s">
        <v>29</v>
      </c>
      <c r="C10" s="16" t="s">
        <v>63</v>
      </c>
      <c r="D10" s="16" t="s">
        <v>64</v>
      </c>
      <c r="E10" s="18" t="s">
        <v>65</v>
      </c>
      <c r="F10" s="4" t="s">
        <v>7</v>
      </c>
      <c r="G10" s="4" t="str">
        <f>IF(AND(B10="Alto",F10="Alta"),"Crítico",
IF(AND(B10="Alto",F10="Media"),"Alto",
IF(AND(B10="Alto",F10="Baja"),"Medio",
IF(AND(B10="Medio",F10="Alta"),"Bajo",
IF(AND(B10="Medio",F10="Media"),"Medio",
IF(AND(B10="Medio",F10="Baja"),"Bajo",
IF(AND(B10="Bajo",F10="Alta"),"Medio",
IF(AND(B10="Bajo",F10="Media"),"Bajo",
IF(AND(B10="Bajo",F10="Baja"),"Muy bajo","")))))))))</f>
        <v>Bajo</v>
      </c>
      <c r="H10" s="2"/>
    </row>
    <row r="11" spans="2:8" ht="45" x14ac:dyDescent="0.25">
      <c r="B11" s="4" t="s">
        <v>4</v>
      </c>
      <c r="C11" s="16" t="s">
        <v>66</v>
      </c>
      <c r="D11" s="16" t="s">
        <v>67</v>
      </c>
      <c r="E11" s="18" t="s">
        <v>68</v>
      </c>
      <c r="F11" s="4" t="s">
        <v>9</v>
      </c>
      <c r="G11" s="4" t="str">
        <f>IF(AND(B11="Alto",F11="Alta"),"Crítico",
IF(AND(B11="Alto",F11="Media"),"Alto",
IF(AND(B11="Alto",F11="Baja"),"Medio",
IF(AND(B11="Medio",F11="Alta"),"Bajo",
IF(AND(B11="Medio",F11="Media"),"Medio",
IF(AND(B11="Medio",F11="Baja"),"Bajo",
IF(AND(B11="Bajo",F11="Alta"),"Medio",
IF(AND(B11="Bajo",F11="Media"),"Bajo",
IF(AND(B11="Bajo",F11="Baja"),"Muy bajo","")))))))))</f>
        <v>Medio</v>
      </c>
      <c r="H11" s="2"/>
    </row>
    <row r="12" spans="2:8" ht="45" x14ac:dyDescent="0.25">
      <c r="B12" s="4" t="s">
        <v>4</v>
      </c>
      <c r="C12" s="16" t="s">
        <v>69</v>
      </c>
      <c r="D12" s="16" t="s">
        <v>70</v>
      </c>
      <c r="E12" s="18" t="s">
        <v>71</v>
      </c>
      <c r="F12" s="4" t="s">
        <v>8</v>
      </c>
      <c r="G12" s="4" t="str">
        <f>IF(AND(B12="Alto",F12="Alta"),"Crítico",
IF(AND(B12="Alto",F12="Media"),"Alto",
IF(AND(B12="Alto",F12="Baja"),"Medio",
IF(AND(B12="Medio",F12="Alta"),"Bajo",
IF(AND(B12="Medio",F12="Media"),"Medio",
IF(AND(B12="Medio",F12="Baja"),"Bajo",
IF(AND(B12="Bajo",F12="Alta"),"Medio",
IF(AND(B12="Bajo",F12="Media"),"Bajo",
IF(AND(B12="Bajo",F12="Baja"),"Muy bajo","")))))))))</f>
        <v>Bajo</v>
      </c>
      <c r="H12" s="2"/>
    </row>
    <row r="13" spans="2:8" ht="30" x14ac:dyDescent="0.25">
      <c r="B13" s="4" t="s">
        <v>4</v>
      </c>
      <c r="C13" s="16" t="s">
        <v>72</v>
      </c>
      <c r="D13" s="16" t="s">
        <v>73</v>
      </c>
      <c r="E13" s="18" t="s">
        <v>71</v>
      </c>
      <c r="F13" s="4" t="s">
        <v>7</v>
      </c>
      <c r="G13" s="4" t="str">
        <f>IF(AND(B13="Alto",F13="Alta"),"Crítico",
IF(AND(B13="Alto",F13="Media"),"Alto",
IF(AND(B13="Alto",F13="Baja"),"Medio",
IF(AND(B13="Medio",F13="Alta"),"Bajo",
IF(AND(B13="Medio",F13="Media"),"Medio",
IF(AND(B13="Medio",F13="Baja"),"Bajo",
IF(AND(B13="Bajo",F13="Alta"),"Medio",
IF(AND(B13="Bajo",F13="Media"),"Bajo",
IF(AND(B13="Bajo",F13="Baja"),"Muy bajo","")))))))))</f>
        <v>Muy bajo</v>
      </c>
      <c r="H13" s="2"/>
    </row>
    <row r="14" spans="2:8" x14ac:dyDescent="0.25">
      <c r="B14" s="4"/>
      <c r="C14" s="16"/>
      <c r="D14" s="16"/>
      <c r="E14" s="18"/>
      <c r="F14" s="4"/>
      <c r="G14" s="4" t="str">
        <f>IF(AND(B14="Alto",F14="Alta"),"Crítico",
IF(AND(B14="Alto",F14="Media"),"Alto",
IF(AND(B14="Alto",F14="Baja"),"Medio",
IF(AND(B14="Medio",F14="Alta"),"Bajo",
IF(AND(B14="Medio",F14="Media"),"Medio",
IF(AND(B14="Medio",F14="Baja"),"Bajo",
IF(AND(B14="Bajo",F14="Alta"),"Medio",
IF(AND(B14="Bajo",F14="Media"),"Bajo",
IF(AND(B14="Bajo",F14="Baja"),"Muy bajo","")))))))))</f>
        <v/>
      </c>
      <c r="H14" s="2"/>
    </row>
    <row r="17" spans="3:6" x14ac:dyDescent="0.25">
      <c r="C17" s="5" t="s">
        <v>23</v>
      </c>
      <c r="D17" s="5"/>
      <c r="E17" s="5"/>
      <c r="F17" s="5"/>
    </row>
    <row r="18" spans="3:6" x14ac:dyDescent="0.25">
      <c r="C18" s="12"/>
      <c r="D18" s="12"/>
      <c r="E18" s="12"/>
      <c r="F18" s="12"/>
    </row>
    <row r="19" spans="3:6" x14ac:dyDescent="0.25">
      <c r="C19" s="12" t="s">
        <v>3</v>
      </c>
      <c r="D19" s="13"/>
      <c r="E19" s="13"/>
      <c r="F19" s="13"/>
    </row>
    <row r="20" spans="3:6" x14ac:dyDescent="0.25">
      <c r="C20" t="s">
        <v>11</v>
      </c>
      <c r="D20" t="s">
        <v>12</v>
      </c>
    </row>
    <row r="21" spans="3:6" x14ac:dyDescent="0.25">
      <c r="C21" t="s">
        <v>13</v>
      </c>
      <c r="D21" t="s">
        <v>14</v>
      </c>
    </row>
    <row r="22" spans="3:6" x14ac:dyDescent="0.25">
      <c r="C22" t="s">
        <v>15</v>
      </c>
      <c r="D22" t="s">
        <v>16</v>
      </c>
    </row>
    <row r="24" spans="3:6" x14ac:dyDescent="0.25">
      <c r="C24" s="12" t="s">
        <v>6</v>
      </c>
      <c r="D24" s="13"/>
      <c r="E24" s="13"/>
      <c r="F24" s="13"/>
    </row>
    <row r="25" spans="3:6" x14ac:dyDescent="0.25">
      <c r="C25" s="14" t="s">
        <v>17</v>
      </c>
      <c r="D25" t="s">
        <v>18</v>
      </c>
    </row>
    <row r="26" spans="3:6" x14ac:dyDescent="0.25">
      <c r="C26" s="14" t="s">
        <v>19</v>
      </c>
      <c r="D26" t="s">
        <v>20</v>
      </c>
    </row>
    <row r="27" spans="3:6" x14ac:dyDescent="0.25">
      <c r="C27" s="14" t="s">
        <v>21</v>
      </c>
      <c r="D27" t="s">
        <v>22</v>
      </c>
    </row>
    <row r="29" spans="3:6" x14ac:dyDescent="0.25">
      <c r="C29" s="1" t="s">
        <v>24</v>
      </c>
      <c r="D29" s="1"/>
      <c r="E29" s="1"/>
    </row>
    <row r="31" spans="3:6" x14ac:dyDescent="0.25">
      <c r="C31" t="s">
        <v>25</v>
      </c>
    </row>
    <row r="33" spans="3:7" x14ac:dyDescent="0.25">
      <c r="C33" s="5" t="s">
        <v>30</v>
      </c>
      <c r="D33" s="5"/>
      <c r="E33" s="5"/>
      <c r="F33" s="5"/>
      <c r="G33" s="5"/>
    </row>
    <row r="34" spans="3:7" x14ac:dyDescent="0.25">
      <c r="C34" s="8" t="s">
        <v>3</v>
      </c>
      <c r="D34" s="8" t="s">
        <v>6</v>
      </c>
      <c r="E34" s="8" t="s">
        <v>10</v>
      </c>
      <c r="F34" s="8" t="s">
        <v>32</v>
      </c>
      <c r="G34" s="8" t="s">
        <v>33</v>
      </c>
    </row>
    <row r="35" spans="3:7" ht="90" x14ac:dyDescent="0.25">
      <c r="C35" s="9" t="s">
        <v>5</v>
      </c>
      <c r="D35" s="9" t="s">
        <v>5</v>
      </c>
      <c r="E35" s="9" t="s">
        <v>28</v>
      </c>
      <c r="F35" s="7" t="s">
        <v>34</v>
      </c>
      <c r="G35" s="10" t="s">
        <v>40</v>
      </c>
    </row>
    <row r="36" spans="3:7" ht="105" x14ac:dyDescent="0.25">
      <c r="C36" s="9" t="s">
        <v>5</v>
      </c>
      <c r="D36" s="9" t="s">
        <v>29</v>
      </c>
      <c r="E36" s="9" t="s">
        <v>5</v>
      </c>
      <c r="F36" s="11" t="s">
        <v>35</v>
      </c>
      <c r="G36" s="10" t="s">
        <v>36</v>
      </c>
    </row>
    <row r="37" spans="3:7" ht="90" x14ac:dyDescent="0.25">
      <c r="C37" s="9" t="s">
        <v>5</v>
      </c>
      <c r="D37" s="9" t="s">
        <v>4</v>
      </c>
      <c r="E37" s="9" t="s">
        <v>29</v>
      </c>
      <c r="F37" s="11" t="s">
        <v>37</v>
      </c>
      <c r="G37" s="10" t="s">
        <v>38</v>
      </c>
    </row>
    <row r="38" spans="3:7" ht="75" x14ac:dyDescent="0.25">
      <c r="C38" s="9" t="s">
        <v>29</v>
      </c>
      <c r="D38" s="9" t="s">
        <v>5</v>
      </c>
      <c r="E38" s="9" t="s">
        <v>5</v>
      </c>
      <c r="F38" s="11" t="s">
        <v>35</v>
      </c>
      <c r="G38" s="10" t="s">
        <v>39</v>
      </c>
    </row>
    <row r="39" spans="3:7" ht="60" x14ac:dyDescent="0.25">
      <c r="C39" s="9" t="s">
        <v>29</v>
      </c>
      <c r="D39" s="9" t="s">
        <v>29</v>
      </c>
      <c r="E39" s="9" t="s">
        <v>29</v>
      </c>
      <c r="F39" s="11" t="s">
        <v>37</v>
      </c>
      <c r="G39" s="10" t="s">
        <v>41</v>
      </c>
    </row>
    <row r="40" spans="3:7" ht="60" x14ac:dyDescent="0.25">
      <c r="C40" s="9" t="s">
        <v>29</v>
      </c>
      <c r="D40" s="9" t="s">
        <v>4</v>
      </c>
      <c r="E40" s="9" t="s">
        <v>4</v>
      </c>
      <c r="F40" s="11" t="s">
        <v>42</v>
      </c>
      <c r="G40" s="10" t="s">
        <v>43</v>
      </c>
    </row>
    <row r="41" spans="3:7" ht="75" x14ac:dyDescent="0.25">
      <c r="C41" s="9" t="s">
        <v>4</v>
      </c>
      <c r="D41" s="9" t="s">
        <v>5</v>
      </c>
      <c r="E41" s="9" t="s">
        <v>29</v>
      </c>
      <c r="F41" s="11" t="s">
        <v>37</v>
      </c>
      <c r="G41" s="10" t="s">
        <v>44</v>
      </c>
    </row>
    <row r="42" spans="3:7" ht="60" x14ac:dyDescent="0.25">
      <c r="C42" s="9" t="s">
        <v>4</v>
      </c>
      <c r="D42" s="9" t="s">
        <v>29</v>
      </c>
      <c r="E42" s="9" t="s">
        <v>4</v>
      </c>
      <c r="F42" s="11" t="s">
        <v>42</v>
      </c>
      <c r="G42" s="10" t="s">
        <v>45</v>
      </c>
    </row>
    <row r="43" spans="3:7" ht="45" x14ac:dyDescent="0.25">
      <c r="C43" s="9" t="s">
        <v>4</v>
      </c>
      <c r="D43" s="9" t="s">
        <v>4</v>
      </c>
      <c r="E43" s="9" t="s">
        <v>31</v>
      </c>
      <c r="F43" s="11" t="s">
        <v>46</v>
      </c>
      <c r="G43" s="10" t="s">
        <v>47</v>
      </c>
    </row>
  </sheetData>
  <mergeCells count="3">
    <mergeCell ref="B2:H2"/>
    <mergeCell ref="C33:G33"/>
    <mergeCell ref="C17:F17"/>
  </mergeCells>
  <conditionalFormatting sqref="B5:B14">
    <cfRule type="containsText" dxfId="11" priority="9" operator="containsText" text="Bajo">
      <formula>NOT(ISERROR(SEARCH("Bajo",B5)))</formula>
    </cfRule>
    <cfRule type="containsText" dxfId="12" priority="10" operator="containsText" text="Medio">
      <formula>NOT(ISERROR(SEARCH("Medio",B5)))</formula>
    </cfRule>
    <cfRule type="containsText" dxfId="21" priority="11" operator="containsText" text="Alto">
      <formula>NOT(ISERROR(SEARCH("Alto",B5)))</formula>
    </cfRule>
  </conditionalFormatting>
  <conditionalFormatting sqref="F5:F14">
    <cfRule type="containsText" dxfId="20" priority="6" operator="containsText" text="Baja">
      <formula>NOT(ISERROR(SEARCH("Baja",F5)))</formula>
    </cfRule>
    <cfRule type="containsText" dxfId="19" priority="7" operator="containsText" text="Media">
      <formula>NOT(ISERROR(SEARCH("Media",F5)))</formula>
    </cfRule>
    <cfRule type="containsText" dxfId="18" priority="8" operator="containsText" text="Alta">
      <formula>NOT(ISERROR(SEARCH("Alta",F5)))</formula>
    </cfRule>
  </conditionalFormatting>
  <conditionalFormatting sqref="G5:G14">
    <cfRule type="containsText" dxfId="17" priority="1" operator="containsText" text="Muy bajo">
      <formula>NOT(ISERROR(SEARCH("Muy bajo",G5)))</formula>
    </cfRule>
    <cfRule type="containsText" dxfId="16" priority="2" operator="containsText" text="Crítico">
      <formula>NOT(ISERROR(SEARCH("Crítico",G5)))</formula>
    </cfRule>
    <cfRule type="containsText" dxfId="15" priority="3" operator="containsText" text="Bajo">
      <formula>NOT(ISERROR(SEARCH("Bajo",G5)))</formula>
    </cfRule>
    <cfRule type="containsText" dxfId="14" priority="4" operator="containsText" text="Medio">
      <formula>NOT(ISERROR(SEARCH("Medio",G5)))</formula>
    </cfRule>
    <cfRule type="containsText" dxfId="13" priority="5" operator="containsText" text="Alto">
      <formula>NOT(ISERROR(SEARCH("Alto",G5)))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D5DCA0B-4F0B-4619-8D0C-7D58807923A4}">
          <x14:formula1>
            <xm:f>Sheet2!$B$3:$B$5</xm:f>
          </x14:formula1>
          <xm:sqref>B5:B14</xm:sqref>
        </x14:dataValidation>
        <x14:dataValidation type="list" allowBlank="1" showInputMessage="1" showErrorMessage="1" xr:uid="{B4FD7E8F-8C6C-4D15-B32B-CD4E3E8BFF34}">
          <x14:formula1>
            <xm:f>Sheet2!$D$3:$D$5</xm:f>
          </x14:formula1>
          <xm:sqref>F5:F14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5C94D-ECC9-415F-810A-0771FCB564D2}">
  <dimension ref="B2:D5"/>
  <sheetViews>
    <sheetView workbookViewId="0">
      <selection activeCell="D6" sqref="D6"/>
    </sheetView>
  </sheetViews>
  <sheetFormatPr defaultRowHeight="15" x14ac:dyDescent="0.25"/>
  <sheetData>
    <row r="2" spans="2:4" x14ac:dyDescent="0.25">
      <c r="B2" t="s">
        <v>3</v>
      </c>
      <c r="D2" t="s">
        <v>6</v>
      </c>
    </row>
    <row r="3" spans="2:4" x14ac:dyDescent="0.25">
      <c r="B3" t="s">
        <v>4</v>
      </c>
      <c r="D3" t="s">
        <v>7</v>
      </c>
    </row>
    <row r="4" spans="2:4" x14ac:dyDescent="0.25">
      <c r="B4" t="s">
        <v>29</v>
      </c>
      <c r="D4" t="s">
        <v>8</v>
      </c>
    </row>
    <row r="5" spans="2:4" x14ac:dyDescent="0.25">
      <c r="B5" t="s">
        <v>5</v>
      </c>
      <c r="D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Castillo</dc:creator>
  <cp:lastModifiedBy>Jonathan Castillo</cp:lastModifiedBy>
  <dcterms:created xsi:type="dcterms:W3CDTF">2025-12-20T00:30:17Z</dcterms:created>
  <dcterms:modified xsi:type="dcterms:W3CDTF">2025-12-20T02:46:50Z</dcterms:modified>
</cp:coreProperties>
</file>